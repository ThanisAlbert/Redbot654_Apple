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Automation\Python\RedBot654_Apple\"/>
    </mc:Choice>
  </mc:AlternateContent>
  <xr:revisionPtr revIDLastSave="0" documentId="13_ncr:1_{030A9E24-E4E3-421C-B69D-870F647A2E7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1" l="1"/>
  <c r="AC4" i="1" s="1"/>
  <c r="Z4" i="1"/>
  <c r="AA3" i="1"/>
  <c r="AC3" i="1" s="1"/>
  <c r="Z3" i="1"/>
  <c r="AA2" i="1"/>
  <c r="AC2" i="1" s="1"/>
  <c r="Z2" i="1"/>
  <c r="AE4" i="1" l="1"/>
  <c r="AD4" i="1"/>
  <c r="AD2" i="1"/>
  <c r="AE2" i="1"/>
  <c r="AE3" i="1"/>
  <c r="AD3" i="1"/>
</calcChain>
</file>

<file path=xl/sharedStrings.xml><?xml version="1.0" encoding="utf-8"?>
<sst xmlns="http://schemas.openxmlformats.org/spreadsheetml/2006/main" count="136" uniqueCount="91">
  <si>
    <t>Web-order</t>
  </si>
  <si>
    <t>Dealer Code</t>
  </si>
  <si>
    <t>RTM</t>
  </si>
  <si>
    <t>Billing Sequence</t>
  </si>
  <si>
    <t>Delivery Sequence</t>
  </si>
  <si>
    <t>Location</t>
  </si>
  <si>
    <t>P.O Number</t>
  </si>
  <si>
    <t>Created on</t>
  </si>
  <si>
    <t>Item Code</t>
  </si>
  <si>
    <t>Quantity</t>
  </si>
  <si>
    <t>Unit Price</t>
  </si>
  <si>
    <t>Item Total</t>
  </si>
  <si>
    <t>CTO Option Codes</t>
  </si>
  <si>
    <t>Item Description</t>
  </si>
  <si>
    <t>Vendor code</t>
  </si>
  <si>
    <t>Unique Code</t>
  </si>
  <si>
    <t>Customer name</t>
  </si>
  <si>
    <t>TSM</t>
  </si>
  <si>
    <t>CSM</t>
  </si>
  <si>
    <t>APPLE PART CODE</t>
  </si>
  <si>
    <t>SUB LOB</t>
  </si>
  <si>
    <t>Loading location</t>
  </si>
  <si>
    <t>Config Order Description</t>
  </si>
  <si>
    <t>PO PRICE</t>
  </si>
  <si>
    <t>Total PO price</t>
  </si>
  <si>
    <t>DTP</t>
  </si>
  <si>
    <t>FD</t>
  </si>
  <si>
    <t>DTP - Partner FD</t>
  </si>
  <si>
    <t>Partner PO price</t>
  </si>
  <si>
    <t>Diiference</t>
  </si>
  <si>
    <t>Partner FD</t>
  </si>
  <si>
    <t>SO Number</t>
  </si>
  <si>
    <t>PR Number</t>
  </si>
  <si>
    <t>Po number</t>
  </si>
  <si>
    <t>SO details</t>
  </si>
  <si>
    <t>Remarks</t>
  </si>
  <si>
    <t>IGSTBilling</t>
  </si>
  <si>
    <t>PaymentOption</t>
  </si>
  <si>
    <t>Plant</t>
  </si>
  <si>
    <t>Loaded Qty</t>
  </si>
  <si>
    <t>Total PO Price</t>
  </si>
  <si>
    <t>Configuration Need to load</t>
  </si>
  <si>
    <t>Configuration loaded in Apple portal</t>
  </si>
  <si>
    <t>Loading location address</t>
  </si>
  <si>
    <t>Loading Location</t>
  </si>
  <si>
    <t>S10507-G71NULYTO6CFA56_1</t>
  </si>
  <si>
    <t>S10507</t>
  </si>
  <si>
    <t>B2B</t>
  </si>
  <si>
    <t>CHENNAI</t>
  </si>
  <si>
    <t>Tamil Nadu</t>
  </si>
  <si>
    <t>CIN-909782</t>
  </si>
  <si>
    <t>APMCZ15S03</t>
  </si>
  <si>
    <t>065-CCJX; 065-CCJY; 065-CD7F; 065-CCJT; 065-CCLY; 065-CCM0; 065-CCM1; 065-CCM2; 065-CD09; HN065-CD0H; 065-CD5Y; 065-CD61</t>
  </si>
  <si>
    <t>16GB unified memory, 256GB SSD storage, 30W USB-C Power Adapter, Apple M2 chip with 8-core CPU, 8-core GPU, 16-core Neural Engine, 1080p FaceTime HD camera, Two Thunderbolt / USB 4 ports, MagSafe 3 charging port, 13.6-inch Liquid Retina display with True Tone, Backlit Magic Keyboard - US English, Accessory Kit used for India, logic pro, None</t>
  </si>
  <si>
    <t>Z15S</t>
  </si>
  <si>
    <t>CINTHAMANI COMPUTER</t>
  </si>
  <si>
    <t>NARESH KUMAR</t>
  </si>
  <si>
    <t>RAM PRASAD</t>
  </si>
  <si>
    <t>Macbook Air 13 M2</t>
  </si>
  <si>
    <t>Bangalore</t>
  </si>
  <si>
    <t>ponumber1</t>
  </si>
  <si>
    <t>Yes</t>
  </si>
  <si>
    <t>Normal Billing</t>
  </si>
  <si>
    <t>2</t>
  </si>
  <si>
    <t>229,603.74 INR</t>
  </si>
  <si>
    <t>//System on a Chip (Processor): (065-CJQW) - Apple M2 chip with 8‑core CPU, 10‑core GPU, 16‑core Neural Engine//Memory: (065-CCJX) - 16GB unified memory//Storage: (065-CCJY) - 256GB SSD storage//Power Adapter: (065-CD7F) - 30W USB-C Power Adapter//Camera: (065-CCLY) - 1080p FaceTime HD camera//Thunderbolt: (065-CCM0) - Two Thunderbolt / USB 4 ports//Input: (065-CCM1) - MagSafe 3 charging port//Display: (065-CCM2) - 13.6-inch Liquid Retina display with True Tone//Final Cut Pro: (065-CD5Y) - None//Logic Pro: (065-CD62) - Logic Pro//Keyboard Language: (065-CD09) - Backlit Magic Keyboard with Touch ID - US English//Accessory Kit: (HN065-CD0H) - Accessory Kit</t>
  </si>
  <si>
    <t>562123 REDINGTON LIMITED PLOT NO. 4/2, DASANPURA HOBLI, MAKALI POST, BANGALORE NORTH TALUK, BANGALORE Karnataka</t>
  </si>
  <si>
    <t>S34027-VOY8UYP985YPEXG_1</t>
  </si>
  <si>
    <t>S34027</t>
  </si>
  <si>
    <t>S34027-006</t>
  </si>
  <si>
    <t>BANGALORE</t>
  </si>
  <si>
    <t>Karnataka</t>
  </si>
  <si>
    <t>BLR-POIN111NETRADYNE-Roja</t>
  </si>
  <si>
    <t>16GB unified memory, 256GB SSD storage, 30W USB-C Power Adapter, Apple M2 chip with 8-core CPU, 8-core GPU, 16-core Neural Engine, 1080p FaceTime HD camera, Two Thunderbolt / USB 4 ports, MagSafe 3 charging port, 13.6-inch Liquid Retina display with True Tone, Backlit Magic Keyboard - US English, Accessory Kit used for India, None, None</t>
  </si>
  <si>
    <t>Z15S_Opt_97</t>
  </si>
  <si>
    <t>CONQUER TECHNOLOGIES</t>
  </si>
  <si>
    <t>CHANDRAKANTH</t>
  </si>
  <si>
    <t>PRAVEEN PIDAPARTHI</t>
  </si>
  <si>
    <t>ponumber2</t>
  </si>
  <si>
    <t>No</t>
  </si>
  <si>
    <t>38</t>
  </si>
  <si>
    <t>3,741,489.88 INR</t>
  </si>
  <si>
    <t>//System on a Chip (Processor): (065-CJQW) - Apple M2 chip with 8‑core CPU, 10‑core GPU, 16‑core Neural Engine//Memory: (065-CCJX) - 16GB unified memory//Storage: (065-CCJY) - 256GB SSD storage//Power Adapter: (065-CD7F) - 30W USB-C Power Adapter//Camera: (065-CCLY) - 1080p FaceTime HD camera//Thunderbolt: (065-CCM0) - Two Thunderbolt / USB 4 ports//Input: (065-CCM1) - MagSafe 3 charging port//Display: (065-CCM2) - 13.6-inch Liquid Retina display with True Tone//Final Cut Pro: (065-CD5Y) - None//Logic Pro: (065-CD61) - None//Keyboard Language: (065-CD09) - Backlit Magic Keyboard with Touch ID - US English//Accessory Kit: (HN065-CD0H) - Accessory Kit</t>
  </si>
  <si>
    <t>S34027-CFSQ7UF6HOIN9EN_1</t>
  </si>
  <si>
    <t>S34027-005</t>
  </si>
  <si>
    <t>CHN-SAMCO-VASUKI</t>
  </si>
  <si>
    <t>ponumber6</t>
  </si>
  <si>
    <t>9</t>
  </si>
  <si>
    <t>886,142.34 INR</t>
  </si>
  <si>
    <t xml:space="preserve">  err-codeMismatch-  065-CCJT  err-codeMismatch-  065-CD61; err - poprice</t>
  </si>
  <si>
    <t xml:space="preserve">  err-codeMismatch-  065-CCJT; err - poprice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</si>
</sst>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[$-409]d/mmm/yy;@"/>
    <numFmt numFmtId="165" formatCode="0.000"/>
    <numFmt numFmtId="166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7"/>
      <color rgb="FF1D1D1F"/>
      <name val="Arial"/>
      <family val="2"/>
    </font>
    <font>
      <sz val="10"/>
      <color rgb="FF1D1D1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/>
    <xf numFmtId="9" fontId="1" fillId="0" borderId="0"/>
  </cellStyleXfs>
  <cellXfs count="2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65" fontId="5" fillId="0" borderId="1" xfId="0" applyNumberFormat="1" applyFon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10" fontId="5" fillId="0" borderId="1" xfId="2" applyNumberFormat="1" applyFont="1" applyBorder="1" applyAlignment="1">
      <alignment horizontal="center"/>
    </xf>
    <xf numFmtId="4" fontId="8" fillId="0" borderId="1" xfId="0" applyNumberFormat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vertical="center"/>
    </xf>
    <xf numFmtId="9" fontId="2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66" fontId="2" fillId="4" borderId="1" xfId="1" applyNumberFormat="1" applyFont="1" applyFill="1" applyBorder="1" applyAlignment="1">
      <alignment horizontal="center" vertical="center"/>
    </xf>
    <xf numFmtId="10" fontId="2" fillId="3" borderId="1" xfId="0" applyNumberFormat="1" applyFont="1" applyFill="1" applyBorder="1" applyAlignment="1">
      <alignment horizontal="center" vertical="center"/>
    </xf>
    <xf numFmtId="1" fontId="2" fillId="3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" fontId="7" fillId="0" borderId="1" xfId="0" applyNumberFormat="1" applyFont="1" applyBorder="1"/>
    <xf numFmtId="2" fontId="0" fillId="0" borderId="1" xfId="0" applyNumberFormat="1" applyBorder="1"/>
    <xf numFmtId="0" fontId="0" fillId="0" borderId="1" xfId="0" applyBorder="1"/>
    <xf numFmtId="49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V4"/>
  <sheetViews>
    <sheetView tabSelected="1" workbookViewId="0">
      <selection activeCell="L6" sqref="L6"/>
    </sheetView>
  </sheetViews>
  <sheetFormatPr defaultRowHeight="14.5" x14ac:dyDescent="0.35"/>
  <cols>
    <col min="1" max="1" width="9.08984375" bestFit="1" customWidth="1"/>
    <col min="2" max="2" width="10.1796875" bestFit="1" customWidth="1"/>
    <col min="3" max="3" width="4.26953125" bestFit="1" customWidth="1"/>
    <col min="4" max="4" width="13.26953125" bestFit="1" customWidth="1"/>
    <col min="5" max="5" width="14.81640625" bestFit="1" customWidth="1"/>
    <col min="6" max="7" width="7.26953125" bestFit="1" customWidth="1"/>
    <col min="8" max="8" width="10.1796875" bestFit="1" customWidth="1"/>
    <col min="9" max="9" width="9.26953125" bestFit="1" customWidth="1"/>
    <col min="10" max="10" width="8.6328125" bestFit="1" customWidth="1"/>
    <col min="11" max="11" width="7.54296875" bestFit="1" customWidth="1"/>
    <col min="12" max="12" width="8.26953125" bestFit="1" customWidth="1"/>
    <col min="13" max="13" width="8.6328125" bestFit="1" customWidth="1"/>
    <col min="14" max="14" width="15" bestFit="1" customWidth="1"/>
    <col min="15" max="15" width="13.54296875" bestFit="1" customWidth="1"/>
    <col min="16" max="16" width="10.54296875" bestFit="1" customWidth="1"/>
    <col min="17" max="17" width="10.7265625" bestFit="1" customWidth="1"/>
    <col min="18" max="18" width="13" bestFit="1" customWidth="1"/>
    <col min="19" max="19" width="4.08984375" bestFit="1" customWidth="1"/>
    <col min="20" max="20" width="4.1796875" bestFit="1" customWidth="1"/>
    <col min="21" max="21" width="14.90625" bestFit="1" customWidth="1"/>
    <col min="22" max="22" width="7.26953125" bestFit="1" customWidth="1"/>
    <col min="23" max="23" width="13.453125" bestFit="1" customWidth="1"/>
    <col min="24" max="24" width="13.1796875" customWidth="1"/>
    <col min="25" max="25" width="10.7265625" customWidth="1"/>
    <col min="26" max="26" width="11.6328125" bestFit="1" customWidth="1"/>
    <col min="27" max="27" width="6.453125" customWidth="1"/>
    <col min="28" max="28" width="7.54296875" customWidth="1"/>
    <col min="29" max="29" width="13.6328125" bestFit="1" customWidth="1"/>
    <col min="30" max="30" width="13.54296875" bestFit="1" customWidth="1"/>
    <col min="31" max="31" width="9.6328125" bestFit="1" customWidth="1"/>
    <col min="32" max="32" width="9" bestFit="1" customWidth="1"/>
    <col min="33" max="33" width="9.54296875" bestFit="1" customWidth="1"/>
    <col min="34" max="34" width="9.453125" bestFit="1" customWidth="1"/>
    <col min="35" max="35" width="9.26953125" bestFit="1" customWidth="1"/>
    <col min="36" max="36" width="8.453125" bestFit="1" customWidth="1"/>
    <col min="37" max="37" width="7.36328125" bestFit="1" customWidth="1"/>
    <col min="38" max="38" width="8.81640625" bestFit="1" customWidth="1"/>
    <col min="39" max="39" width="13" bestFit="1" customWidth="1"/>
    <col min="40" max="40" width="4.81640625" bestFit="1" customWidth="1"/>
    <col min="41" max="41" width="9.81640625" style="24" customWidth="1"/>
    <col min="42" max="42" width="9.54296875" bestFit="1" customWidth="1"/>
    <col min="43" max="43" width="11.6328125" bestFit="1" customWidth="1"/>
    <col min="44" max="44" width="21.90625" bestFit="1" customWidth="1"/>
    <col min="45" max="45" width="29.36328125" bestFit="1" customWidth="1"/>
    <col min="46" max="46" width="19.90625" bestFit="1" customWidth="1"/>
    <col min="47" max="47" width="13.7265625" bestFit="1" customWidth="1"/>
    <col min="48" max="48" width="15.08984375" customWidth="1"/>
  </cols>
  <sheetData>
    <row r="1" spans="1:48" s="20" customFormat="1" ht="22.5" customHeight="1" x14ac:dyDescent="0.35">
      <c r="A1" s="1" t="s">
        <v>0</v>
      </c>
      <c r="B1" s="1" t="s">
        <v>1</v>
      </c>
      <c r="C1" s="1" t="s">
        <v>2</v>
      </c>
      <c r="D1" s="10" t="s">
        <v>3</v>
      </c>
      <c r="E1" s="10" t="s">
        <v>4</v>
      </c>
      <c r="F1" s="10" t="s">
        <v>5</v>
      </c>
      <c r="G1" s="10" t="s">
        <v>5</v>
      </c>
      <c r="H1" s="1" t="s">
        <v>6</v>
      </c>
      <c r="I1" s="11" t="s">
        <v>7</v>
      </c>
      <c r="J1" s="10" t="s">
        <v>8</v>
      </c>
      <c r="K1" s="1" t="s">
        <v>9</v>
      </c>
      <c r="L1" s="1" t="s">
        <v>10</v>
      </c>
      <c r="M1" s="10" t="s">
        <v>11</v>
      </c>
      <c r="N1" s="12" t="s">
        <v>12</v>
      </c>
      <c r="O1" s="10" t="s">
        <v>13</v>
      </c>
      <c r="P1" s="1" t="s">
        <v>14</v>
      </c>
      <c r="Q1" s="13" t="s">
        <v>15</v>
      </c>
      <c r="R1" s="1" t="s">
        <v>16</v>
      </c>
      <c r="S1" s="1" t="s">
        <v>17</v>
      </c>
      <c r="T1" s="1" t="s">
        <v>18</v>
      </c>
      <c r="U1" s="10" t="s">
        <v>19</v>
      </c>
      <c r="V1" s="1" t="s">
        <v>20</v>
      </c>
      <c r="W1" s="1" t="s">
        <v>21</v>
      </c>
      <c r="X1" s="1" t="s">
        <v>22</v>
      </c>
      <c r="Y1" s="14" t="s">
        <v>23</v>
      </c>
      <c r="Z1" s="14" t="s">
        <v>24</v>
      </c>
      <c r="AA1" s="14" t="s">
        <v>25</v>
      </c>
      <c r="AB1" s="2" t="s">
        <v>26</v>
      </c>
      <c r="AC1" s="14" t="s">
        <v>27</v>
      </c>
      <c r="AD1" s="14" t="s">
        <v>28</v>
      </c>
      <c r="AE1" s="15" t="s">
        <v>29</v>
      </c>
      <c r="AF1" s="16" t="s">
        <v>30</v>
      </c>
      <c r="AG1" s="16" t="s">
        <v>31</v>
      </c>
      <c r="AH1" s="17" t="s">
        <v>32</v>
      </c>
      <c r="AI1" s="10" t="s">
        <v>33</v>
      </c>
      <c r="AJ1" s="1" t="s">
        <v>34</v>
      </c>
      <c r="AK1" s="1" t="s">
        <v>35</v>
      </c>
      <c r="AL1" s="18" t="s">
        <v>36</v>
      </c>
      <c r="AM1" s="18" t="s">
        <v>37</v>
      </c>
      <c r="AN1" s="18" t="s">
        <v>38</v>
      </c>
      <c r="AO1" s="19" t="s">
        <v>10</v>
      </c>
      <c r="AP1" s="19" t="s">
        <v>39</v>
      </c>
      <c r="AQ1" s="19" t="s">
        <v>40</v>
      </c>
      <c r="AR1" s="19" t="s">
        <v>41</v>
      </c>
      <c r="AS1" s="19" t="s">
        <v>42</v>
      </c>
      <c r="AT1" s="19" t="s">
        <v>43</v>
      </c>
      <c r="AU1" s="19" t="s">
        <v>44</v>
      </c>
    </row>
    <row r="2" spans="1:48" x14ac:dyDescent="0.35">
      <c r="A2" s="3" t="s">
        <v>45</v>
      </c>
      <c r="B2" s="3" t="s">
        <v>46</v>
      </c>
      <c r="C2" s="3" t="s">
        <v>47</v>
      </c>
      <c r="D2" s="3" t="s">
        <v>46</v>
      </c>
      <c r="E2" s="3" t="s">
        <v>46</v>
      </c>
      <c r="F2" s="3" t="s">
        <v>48</v>
      </c>
      <c r="G2" s="3" t="s">
        <v>49</v>
      </c>
      <c r="H2" s="3" t="s">
        <v>50</v>
      </c>
      <c r="I2" s="4">
        <v>45135.688773958333</v>
      </c>
      <c r="J2" s="3" t="s">
        <v>51</v>
      </c>
      <c r="K2" s="3">
        <v>2</v>
      </c>
      <c r="L2" s="3">
        <v>114322.32</v>
      </c>
      <c r="M2" s="3">
        <v>201664</v>
      </c>
      <c r="N2" s="3" t="s">
        <v>52</v>
      </c>
      <c r="O2" s="3" t="s">
        <v>53</v>
      </c>
      <c r="P2" s="3" t="s">
        <v>54</v>
      </c>
      <c r="Q2" s="3"/>
      <c r="R2" s="3" t="s">
        <v>55</v>
      </c>
      <c r="S2" s="3" t="s">
        <v>56</v>
      </c>
      <c r="T2" s="3" t="s">
        <v>57</v>
      </c>
      <c r="U2" s="3" t="s">
        <v>54</v>
      </c>
      <c r="V2" s="3" t="s">
        <v>58</v>
      </c>
      <c r="W2" s="3" t="s">
        <v>59</v>
      </c>
      <c r="X2" s="5"/>
      <c r="Y2" s="21">
        <v>114801.87</v>
      </c>
      <c r="Z2" s="3">
        <f>Y2*K2</f>
        <v>229603.74</v>
      </c>
      <c r="AA2" s="3">
        <f>Y2+(Y2*AB2%)</f>
        <v>118474.57698447899</v>
      </c>
      <c r="AB2" s="6">
        <v>3.1991700000000001</v>
      </c>
      <c r="AC2" s="3">
        <f>AA2-(AA2*AF2)</f>
        <v>104494.57690031047</v>
      </c>
      <c r="AD2" s="3">
        <f>AC2+(AC2*18%)</f>
        <v>123303.60074236634</v>
      </c>
      <c r="AE2" s="7">
        <f>AC2-L2</f>
        <v>-9827.7430996895419</v>
      </c>
      <c r="AF2" s="8">
        <v>0.11799999999999999</v>
      </c>
      <c r="AG2" s="5">
        <v>3002065574</v>
      </c>
      <c r="AH2" s="7">
        <v>10321046</v>
      </c>
      <c r="AI2" s="3" t="s">
        <v>60</v>
      </c>
      <c r="AJ2" s="3"/>
      <c r="AK2" s="3"/>
      <c r="AL2" s="5" t="s">
        <v>61</v>
      </c>
      <c r="AM2" s="5" t="s">
        <v>62</v>
      </c>
      <c r="AN2" s="3" t="s">
        <v>48</v>
      </c>
      <c r="AO2" s="22">
        <v>114801.87</v>
      </c>
      <c r="AP2" s="23" t="s">
        <v>63</v>
      </c>
      <c r="AQ2" s="23" t="s">
        <v>64</v>
      </c>
      <c r="AR2" s="23" t="s">
        <v>53</v>
      </c>
      <c r="AS2" s="23" t="s">
        <v>65</v>
      </c>
      <c r="AT2" s="23" t="s">
        <v>66</v>
      </c>
      <c r="AU2" s="23" t="s">
        <v>59</v>
      </c>
      <c r="AV2" t="s">
        <v>89</v>
      </c>
    </row>
    <row r="3" spans="1:48" x14ac:dyDescent="0.35">
      <c r="A3" s="3" t="s">
        <v>67</v>
      </c>
      <c r="B3" s="3" t="s">
        <v>68</v>
      </c>
      <c r="C3" s="3" t="s">
        <v>47</v>
      </c>
      <c r="D3" s="3" t="s">
        <v>69</v>
      </c>
      <c r="E3" s="3" t="s">
        <v>69</v>
      </c>
      <c r="F3" s="3" t="s">
        <v>70</v>
      </c>
      <c r="G3" s="3" t="s">
        <v>71</v>
      </c>
      <c r="H3" s="3" t="s">
        <v>72</v>
      </c>
      <c r="I3" s="4">
        <v>45136.511411608793</v>
      </c>
      <c r="J3" s="3" t="s">
        <v>51</v>
      </c>
      <c r="K3" s="3">
        <v>38</v>
      </c>
      <c r="L3" s="3">
        <v>100832</v>
      </c>
      <c r="M3" s="3">
        <v>3831616</v>
      </c>
      <c r="N3" s="3" t="s">
        <v>52</v>
      </c>
      <c r="O3" s="3" t="s">
        <v>73</v>
      </c>
      <c r="P3" s="3" t="s">
        <v>54</v>
      </c>
      <c r="Q3" s="3" t="s">
        <v>74</v>
      </c>
      <c r="R3" s="3" t="s">
        <v>75</v>
      </c>
      <c r="S3" s="3" t="s">
        <v>76</v>
      </c>
      <c r="T3" s="3" t="s">
        <v>77</v>
      </c>
      <c r="U3" s="3" t="s">
        <v>54</v>
      </c>
      <c r="V3" s="3" t="s">
        <v>58</v>
      </c>
      <c r="W3" s="3" t="s">
        <v>59</v>
      </c>
      <c r="X3" s="5"/>
      <c r="Y3" s="23">
        <v>98460.26</v>
      </c>
      <c r="Z3" s="3">
        <f>Y3*K3</f>
        <v>3741489.88</v>
      </c>
      <c r="AA3" s="3">
        <f>Y3+(Y3*AB3%)</f>
        <v>101610.17109984199</v>
      </c>
      <c r="AB3" s="6">
        <v>3.1991700000000001</v>
      </c>
      <c r="AC3" s="3">
        <f>AA3-(AA3*AF3)</f>
        <v>89620.170910060639</v>
      </c>
      <c r="AD3" s="3">
        <f>AC3+(AC3*18%)</f>
        <v>105751.80167387155</v>
      </c>
      <c r="AE3" s="7">
        <f>AC3-L3</f>
        <v>-11211.829089939361</v>
      </c>
      <c r="AF3" s="8">
        <v>0.11799999999999999</v>
      </c>
      <c r="AG3" s="5">
        <v>3002065655</v>
      </c>
      <c r="AH3" s="7">
        <v>10320884</v>
      </c>
      <c r="AI3" s="3" t="s">
        <v>78</v>
      </c>
      <c r="AJ3" s="5"/>
      <c r="AK3" s="3"/>
      <c r="AL3" s="5" t="s">
        <v>79</v>
      </c>
      <c r="AM3" s="5" t="s">
        <v>62</v>
      </c>
      <c r="AN3" s="3" t="s">
        <v>70</v>
      </c>
      <c r="AO3" s="22">
        <v>98460.26</v>
      </c>
      <c r="AP3" s="23" t="s">
        <v>80</v>
      </c>
      <c r="AQ3" s="23" t="s">
        <v>81</v>
      </c>
      <c r="AR3" s="23" t="s">
        <v>73</v>
      </c>
      <c r="AS3" s="23" t="s">
        <v>82</v>
      </c>
      <c r="AT3" s="23" t="s">
        <v>66</v>
      </c>
      <c r="AU3" s="23" t="s">
        <v>59</v>
      </c>
      <c r="AV3" t="s">
        <v>90</v>
      </c>
    </row>
    <row r="4" spans="1:48" x14ac:dyDescent="0.35">
      <c r="A4" s="3" t="s">
        <v>83</v>
      </c>
      <c r="B4" s="3" t="s">
        <v>68</v>
      </c>
      <c r="C4" s="3" t="s">
        <v>47</v>
      </c>
      <c r="D4" s="3" t="s">
        <v>84</v>
      </c>
      <c r="E4" s="3" t="s">
        <v>84</v>
      </c>
      <c r="F4" s="3" t="s">
        <v>48</v>
      </c>
      <c r="G4" s="3" t="s">
        <v>49</v>
      </c>
      <c r="H4" s="3" t="s">
        <v>85</v>
      </c>
      <c r="I4" s="4">
        <v>45138.773021412038</v>
      </c>
      <c r="J4" s="3" t="s">
        <v>51</v>
      </c>
      <c r="K4" s="3">
        <v>9</v>
      </c>
      <c r="L4" s="3">
        <v>100832</v>
      </c>
      <c r="M4" s="3">
        <v>907488</v>
      </c>
      <c r="N4" s="3" t="s">
        <v>52</v>
      </c>
      <c r="O4" s="3" t="s">
        <v>73</v>
      </c>
      <c r="P4" s="3" t="s">
        <v>54</v>
      </c>
      <c r="Q4" s="3" t="s">
        <v>74</v>
      </c>
      <c r="R4" s="3" t="s">
        <v>75</v>
      </c>
      <c r="S4" s="3" t="s">
        <v>76</v>
      </c>
      <c r="T4" s="3" t="s">
        <v>77</v>
      </c>
      <c r="U4" s="3" t="s">
        <v>54</v>
      </c>
      <c r="V4" s="3" t="s">
        <v>58</v>
      </c>
      <c r="W4" s="3" t="s">
        <v>59</v>
      </c>
      <c r="X4" s="3"/>
      <c r="Y4" s="9">
        <v>98460.26</v>
      </c>
      <c r="Z4" s="3">
        <f>Y4*K4</f>
        <v>886142.34</v>
      </c>
      <c r="AA4" s="3">
        <f>Y4+(Y4*AB4%)</f>
        <v>101610.17109984199</v>
      </c>
      <c r="AB4" s="6">
        <v>3.1991700000000001</v>
      </c>
      <c r="AC4" s="3">
        <f>AA4-(AA4*AF4)</f>
        <v>89620.170910060639</v>
      </c>
      <c r="AD4" s="3">
        <f>AC4+(AC4*18%)</f>
        <v>105751.80167387155</v>
      </c>
      <c r="AE4" s="7">
        <f>AC4-L4</f>
        <v>-11211.829089939361</v>
      </c>
      <c r="AF4" s="8">
        <v>0.11799999999999999</v>
      </c>
      <c r="AG4" s="5">
        <v>3002069773</v>
      </c>
      <c r="AH4" s="7">
        <v>10321674</v>
      </c>
      <c r="AI4" s="3" t="s">
        <v>86</v>
      </c>
      <c r="AJ4" s="3"/>
      <c r="AK4" s="3"/>
      <c r="AL4" s="5" t="s">
        <v>79</v>
      </c>
      <c r="AM4" s="5" t="s">
        <v>62</v>
      </c>
      <c r="AN4" s="3" t="s">
        <v>48</v>
      </c>
      <c r="AO4" s="23">
        <v>98460.26</v>
      </c>
      <c r="AP4" s="23" t="s">
        <v>87</v>
      </c>
      <c r="AQ4" s="23" t="s">
        <v>88</v>
      </c>
      <c r="AR4" s="23" t="s">
        <v>73</v>
      </c>
      <c r="AS4" s="23" t="s">
        <v>82</v>
      </c>
      <c r="AT4" s="23" t="s">
        <v>66</v>
      </c>
      <c r="AU4" s="23" t="s">
        <v>59</v>
      </c>
      <c r="AV4" t="s">
        <v>90</v>
      </c>
    </row>
  </sheetData>
  <conditionalFormatting sqref="A1">
    <cfRule type="duplicateValues" dxfId="12" priority="374"/>
  </conditionalFormatting>
  <conditionalFormatting sqref="A1:A3">
    <cfRule type="duplicateValues" dxfId="11" priority="517"/>
  </conditionalFormatting>
  <conditionalFormatting sqref="A2:A3">
    <cfRule type="duplicateValues" dxfId="10" priority="518"/>
    <cfRule type="duplicateValues" dxfId="9" priority="519"/>
    <cfRule type="duplicateValues" dxfId="8" priority="520"/>
  </conditionalFormatting>
  <conditionalFormatting sqref="A4">
    <cfRule type="duplicateValues" dxfId="7" priority="1"/>
    <cfRule type="duplicateValues" dxfId="6" priority="2"/>
  </conditionalFormatting>
  <conditionalFormatting sqref="AH3:AJ3">
    <cfRule type="duplicateValues" dxfId="5" priority="521"/>
    <cfRule type="duplicateValues" dxfId="4" priority="522"/>
  </conditionalFormatting>
  <conditionalFormatting sqref="AI1">
    <cfRule type="duplicateValues" dxfId="3" priority="372"/>
    <cfRule type="duplicateValues" dxfId="2" priority="373"/>
  </conditionalFormatting>
  <conditionalFormatting sqref="AI4">
    <cfRule type="duplicateValues" dxfId="1" priority="3"/>
    <cfRule type="duplicateValues" dxfId="0" priority="4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Gowtham S V</dc:creator>
  <cp:lastModifiedBy>Thanis Albert Cruz</cp:lastModifiedBy>
  <dcterms:created xsi:type="dcterms:W3CDTF">2023-12-26T09:31:04Z</dcterms:created>
  <dcterms:modified xsi:type="dcterms:W3CDTF">2024-06-10T09:15:14Z</dcterms:modified>
</cp:coreProperties>
</file>